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inhTam\Downloads\"/>
    </mc:Choice>
  </mc:AlternateContent>
  <xr:revisionPtr revIDLastSave="0" documentId="13_ncr:1_{635A1304-3020-4AAB-B604-3DE4EA4A251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iểu đồ trình chiếu" sheetId="1" r:id="rId1"/>
    <sheet name="Xu hướng đói" sheetId="2" r:id="rId2"/>
    <sheet name="Bất hoạt theo giớ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B6" i="3"/>
  <c r="B7" i="2"/>
</calcChain>
</file>

<file path=xl/sharedStrings.xml><?xml version="1.0" encoding="utf-8"?>
<sst xmlns="http://schemas.openxmlformats.org/spreadsheetml/2006/main" count="40" uniqueCount="28">
  <si>
    <t>Chỉ số</t>
  </si>
  <si>
    <t>Tỷ lệ (%)</t>
  </si>
  <si>
    <t>Năm dữ liệu</t>
  </si>
  <si>
    <t>Nguồn</t>
  </si>
  <si>
    <t>Nhóm</t>
  </si>
  <si>
    <t>Người lớn thừa cân</t>
  </si>
  <si>
    <t>2024</t>
  </si>
  <si>
    <t>Béo phì &amp; thừa cân</t>
  </si>
  <si>
    <t>Không đủ tiền ăn lành mạnh</t>
  </si>
  <si>
    <t>2025</t>
  </si>
  <si>
    <t>Chế độ ăn</t>
  </si>
  <si>
    <t>Người lớn bất hoạt thể chất</t>
  </si>
  <si>
    <t>2022</t>
  </si>
  <si>
    <t>Hoạt động thể chất</t>
  </si>
  <si>
    <t>Trẻ 5–19 tuổi thừa cân</t>
  </si>
  <si>
    <t>Người lớn béo phì</t>
  </si>
  <si>
    <t>Thiếu ăn (đói)</t>
  </si>
  <si>
    <t>Chế độ ăn / đói</t>
  </si>
  <si>
    <t>Nguồn: SOFI 2026</t>
  </si>
  <si>
    <t>Năm</t>
  </si>
  <si>
    <t>Thiếu ăn (%)</t>
  </si>
  <si>
    <t>Giảm 2022→2025 (điểm %)</t>
  </si>
  <si>
    <t>Nguồn: WHO, dữ liệu 2022</t>
  </si>
  <si>
    <t>Bất hoạt (%)</t>
  </si>
  <si>
    <t>Nữ</t>
  </si>
  <si>
    <t>Nam</t>
  </si>
  <si>
    <t>Chênh lệch nữ − nam (điểm %)</t>
  </si>
  <si>
    <t>Chú ý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</si>
</sst>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1"/>
    </font>
    <font>
      <i/>
      <sz val="11"/>
      <color rgb="FF595959"/>
      <name val="Arial"/>
      <charset val="1"/>
    </font>
    <font>
      <b/>
      <sz val="12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i/>
      <sz val="10"/>
      <color rgb="FF595959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2"/>
      <color rgb="FFFF0000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2E75B6"/>
        <bgColor rgb="FF4F81B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6" fillId="0" borderId="0" xfId="0" applyFont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7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8" fillId="0" borderId="0" xfId="0" applyFont="1"/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/>
    <xf numFmtId="0" fontId="1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55A9B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2200" b="1" strike="noStrike" spc="-1">
                <a:solidFill>
                  <a:srgbClr val="1F3864"/>
                </a:solidFill>
                <a:latin typeface="Arial"/>
              </a:defRPr>
            </a:pPr>
            <a:r>
              <a:rPr lang="vi-VN" sz="2200" b="1" strike="noStrike" spc="-1">
                <a:solidFill>
                  <a:srgbClr val="1F3864"/>
                </a:solidFill>
                <a:latin typeface="Arial"/>
              </a:rPr>
              <a:t>Gần 1/2 người lớn thừa cân, 1/3 không đủ tiền ăn lành mạnh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7438868908298607E-2"/>
          <c:y val="0.14783577509139914"/>
          <c:w val="0.93047763125344907"/>
          <c:h val="0.733122070112703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'Biểu đồ trình chiếu'!$B$3</c:f>
              <c:strCache>
                <c:ptCount val="1"/>
                <c:pt idx="0">
                  <c:v>Tỷ lệ (%)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6EA-4366-AFBA-5E5293A32C1B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6EA-4366-AFBA-5E5293A32C1B}"/>
              </c:ext>
            </c:extLst>
          </c:dPt>
          <c:dPt>
            <c:idx val="2"/>
            <c:invertIfNegative val="0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6EA-4366-AFBA-5E5293A32C1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6EA-4366-AFBA-5E5293A32C1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6EA-4366-AFBA-5E5293A32C1B}"/>
              </c:ext>
            </c:extLst>
          </c:dPt>
          <c:dPt>
            <c:idx val="5"/>
            <c:invertIfNegative val="0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06EA-4366-AFBA-5E5293A32C1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800" b="1" strike="noStrike" spc="-1">
                      <a:solidFill>
                        <a:srgbClr val="262626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EA-4366-AFBA-5E5293A32C1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800" b="1" strike="noStrike" spc="-1">
                      <a:solidFill>
                        <a:srgbClr val="262626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EA-4366-AFBA-5E5293A32C1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800" b="1" strike="noStrike" spc="-1">
                      <a:solidFill>
                        <a:srgbClr val="262626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EA-4366-AFBA-5E5293A32C1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800" b="1" strike="noStrike" spc="-1">
                      <a:solidFill>
                        <a:srgbClr val="262626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EA-4366-AFBA-5E5293A32C1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800" b="1" strike="noStrike" spc="-1">
                      <a:solidFill>
                        <a:srgbClr val="262626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6EA-4366-AFBA-5E5293A32C1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800" b="1" strike="noStrike" spc="-1">
                      <a:solidFill>
                        <a:srgbClr val="262626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6EA-4366-AFBA-5E5293A32C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800" b="1" strike="noStrike" spc="-1">
                    <a:solidFill>
                      <a:srgbClr val="262626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'Biểu đồ trình chiếu'!$A$4:$A$9</c:f>
              <c:strCache>
                <c:ptCount val="6"/>
                <c:pt idx="0">
                  <c:v>Người lớn thừa cân</c:v>
                </c:pt>
                <c:pt idx="1">
                  <c:v>Không đủ tiền ăn lành mạnh</c:v>
                </c:pt>
                <c:pt idx="2">
                  <c:v>Người lớn bất hoạt thể chất</c:v>
                </c:pt>
                <c:pt idx="3">
                  <c:v>Trẻ 5–19 tuổi thừa cân</c:v>
                </c:pt>
                <c:pt idx="4">
                  <c:v>Người lớn béo phì</c:v>
                </c:pt>
                <c:pt idx="5">
                  <c:v>Thiếu ăn (đói)</c:v>
                </c:pt>
              </c:strCache>
            </c:strRef>
          </c:cat>
          <c:val>
            <c:numRef>
              <c:f>'Biểu đồ trình chiếu'!$B$4:$B$9</c:f>
              <c:numCache>
                <c:formatCode>General</c:formatCode>
                <c:ptCount val="6"/>
                <c:pt idx="0">
                  <c:v>45</c:v>
                </c:pt>
                <c:pt idx="1">
                  <c:v>32.700000000000003</c:v>
                </c:pt>
                <c:pt idx="2">
                  <c:v>31</c:v>
                </c:pt>
                <c:pt idx="3">
                  <c:v>20</c:v>
                </c:pt>
                <c:pt idx="4">
                  <c:v>16</c:v>
                </c:pt>
                <c:pt idx="5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6EA-4366-AFBA-5E5293A32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86613339"/>
        <c:axId val="75124754"/>
      </c:barChart>
      <c:catAx>
        <c:axId val="866133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400" b="1" strike="noStrike" spc="-1">
                <a:solidFill>
                  <a:srgbClr val="262626"/>
                </a:solidFill>
                <a:latin typeface="Arial"/>
              </a:defRPr>
            </a:pPr>
            <a:endParaRPr lang="en-US"/>
          </a:p>
        </c:txPr>
        <c:crossAx val="75124754"/>
        <c:crosses val="autoZero"/>
        <c:auto val="1"/>
        <c:lblAlgn val="ctr"/>
        <c:lblOffset val="100"/>
        <c:noMultiLvlLbl val="0"/>
      </c:catAx>
      <c:valAx>
        <c:axId val="75124754"/>
        <c:scaling>
          <c:orientation val="minMax"/>
          <c:max val="50"/>
          <c:min val="0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0\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4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86613339"/>
        <c:crosses val="autoZero"/>
        <c:crossBetween val="between"/>
        <c:majorUnit val="1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2200" b="1" strike="noStrike" spc="-1">
                <a:solidFill>
                  <a:srgbClr val="1F3864"/>
                </a:solidFill>
                <a:latin typeface="Arial"/>
              </a:defRPr>
            </a:pPr>
            <a:r>
              <a:rPr sz="2200" b="1" strike="noStrike" spc="-1">
                <a:solidFill>
                  <a:srgbClr val="1F3864"/>
                </a:solidFill>
                <a:latin typeface="Arial"/>
              </a:rPr>
              <a:t>Thiếu ăn toàn cầu giảm: 8,6% → 7,8%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'Xu hướng đói'!$B$3</c:f>
              <c:strCache>
                <c:ptCount val="1"/>
                <c:pt idx="0">
                  <c:v>Thiếu ăn (%)</c:v>
                </c:pt>
              </c:strCache>
            </c:strRef>
          </c:tx>
          <c:spPr>
            <a:ln w="50040">
              <a:solidFill>
                <a:srgbClr val="2E75B6"/>
              </a:solidFill>
              <a:round/>
            </a:ln>
          </c:spPr>
          <c:marker>
            <c:symbol val="circle"/>
            <c:size val="12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800" b="1" strike="noStrike" spc="-1">
                    <a:solidFill>
                      <a:srgbClr val="262626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'Xu hướng đói'!$A$4:$A$6</c:f>
              <c:strCache>
                <c:ptCount val="3"/>
                <c:pt idx="0">
                  <c:v>2022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'Xu hướng đói'!$B$4:$B$6</c:f>
              <c:numCache>
                <c:formatCode>0.0</c:formatCode>
                <c:ptCount val="3"/>
                <c:pt idx="0">
                  <c:v>8.6</c:v>
                </c:pt>
                <c:pt idx="1">
                  <c:v>8.1</c:v>
                </c:pt>
                <c:pt idx="2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A-48C1-B7F9-616C22070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9075767"/>
        <c:axId val="49745700"/>
      </c:lineChart>
      <c:catAx>
        <c:axId val="49075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400" b="1" strike="noStrike" spc="-1">
                <a:solidFill>
                  <a:srgbClr val="262626"/>
                </a:solidFill>
                <a:latin typeface="Arial"/>
              </a:defRPr>
            </a:pPr>
            <a:endParaRPr lang="en-US"/>
          </a:p>
        </c:txPr>
        <c:crossAx val="49745700"/>
        <c:crosses val="autoZero"/>
        <c:auto val="1"/>
        <c:lblAlgn val="ctr"/>
        <c:lblOffset val="100"/>
        <c:noMultiLvlLbl val="0"/>
      </c:catAx>
      <c:valAx>
        <c:axId val="49745700"/>
        <c:scaling>
          <c:orientation val="minMax"/>
          <c:max val="9"/>
          <c:min val="7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0.0\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4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49075767"/>
        <c:crosses val="autoZero"/>
        <c:crossBetween val="between"/>
        <c:majorUnit val="0.5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2200" b="1" strike="noStrike" spc="-1">
                <a:solidFill>
                  <a:srgbClr val="1F3864"/>
                </a:solidFill>
                <a:latin typeface="Arial"/>
              </a:defRPr>
            </a:pPr>
            <a:r>
              <a:rPr sz="2200" b="1" strike="noStrike" spc="-1">
                <a:solidFill>
                  <a:srgbClr val="1F3864"/>
                </a:solidFill>
                <a:latin typeface="Arial"/>
              </a:rPr>
              <a:t>Phụ nữ bất hoạt thể chất nhiều hơn nam giới (34% vs 29%)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'Bất hoạt theo giới'!$B$3</c:f>
              <c:strCache>
                <c:ptCount val="1"/>
                <c:pt idx="0">
                  <c:v>Bất hoạt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55A9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A18-4463-8ED2-E70ED3D74C97}"/>
              </c:ext>
            </c:extLst>
          </c:dPt>
          <c:dPt>
            <c:idx val="1"/>
            <c:invertIfNegative val="0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A18-4463-8ED2-E70ED3D74C9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800" b="1" strike="noStrike" spc="-1">
                      <a:solidFill>
                        <a:srgbClr val="262626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18-4463-8ED2-E70ED3D74C9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800" b="1" strike="noStrike" spc="-1">
                      <a:solidFill>
                        <a:srgbClr val="262626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18-4463-8ED2-E70ED3D74C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800" b="1" strike="noStrike" spc="-1">
                    <a:solidFill>
                      <a:srgbClr val="262626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'Bất hoạt theo giới'!$A$4:$A$5</c:f>
              <c:strCache>
                <c:ptCount val="2"/>
                <c:pt idx="0">
                  <c:v>Nữ</c:v>
                </c:pt>
                <c:pt idx="1">
                  <c:v>Nam</c:v>
                </c:pt>
              </c:strCache>
            </c:strRef>
          </c:cat>
          <c:val>
            <c:numRef>
              <c:f>'Bất hoạt theo giới'!$B$4:$B$5</c:f>
              <c:numCache>
                <c:formatCode>General</c:formatCode>
                <c:ptCount val="2"/>
                <c:pt idx="0">
                  <c:v>34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18-4463-8ED2-E70ED3D74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8913005"/>
        <c:axId val="21981272"/>
      </c:barChart>
      <c:catAx>
        <c:axId val="189130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400" b="1" strike="noStrike" spc="-1">
                <a:solidFill>
                  <a:srgbClr val="262626"/>
                </a:solidFill>
                <a:latin typeface="Arial"/>
              </a:defRPr>
            </a:pPr>
            <a:endParaRPr lang="en-US"/>
          </a:p>
        </c:txPr>
        <c:crossAx val="21981272"/>
        <c:crosses val="autoZero"/>
        <c:auto val="1"/>
        <c:lblAlgn val="ctr"/>
        <c:lblOffset val="100"/>
        <c:noMultiLvlLbl val="0"/>
      </c:catAx>
      <c:valAx>
        <c:axId val="21981272"/>
        <c:scaling>
          <c:orientation val="minMax"/>
          <c:max val="40"/>
          <c:min val="0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0\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400" b="0" strike="noStrike" spc="-1">
                <a:solidFill>
                  <a:srgbClr val="595959"/>
                </a:solidFill>
                <a:latin typeface="Arial"/>
              </a:defRPr>
            </a:pPr>
            <a:endParaRPr lang="en-US"/>
          </a:p>
        </c:txPr>
        <c:crossAx val="18913005"/>
        <c:crosses val="autoZero"/>
        <c:crossBetween val="between"/>
        <c:majorUnit val="1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9</xdr:row>
      <xdr:rowOff>38100</xdr:rowOff>
    </xdr:from>
    <xdr:to>
      <xdr:col>4</xdr:col>
      <xdr:colOff>1571940</xdr:colOff>
      <xdr:row>33</xdr:row>
      <xdr:rowOff>145740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15</xdr:col>
      <xdr:colOff>581400</xdr:colOff>
      <xdr:row>24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14</xdr:col>
      <xdr:colOff>473040</xdr:colOff>
      <xdr:row>24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showGridLines="0" tabSelected="1" zoomScaleNormal="100" workbookViewId="0">
      <selection activeCell="D9" sqref="D9"/>
    </sheetView>
  </sheetViews>
  <sheetFormatPr defaultColWidth="8.6640625" defaultRowHeight="14.4" x14ac:dyDescent="0.3"/>
  <cols>
    <col min="1" max="1" width="34" customWidth="1"/>
    <col min="2" max="2" width="12" customWidth="1"/>
    <col min="3" max="3" width="14" customWidth="1"/>
    <col min="4" max="4" width="70.88671875" customWidth="1"/>
    <col min="5" max="5" width="24" customWidth="1"/>
  </cols>
  <sheetData>
    <row r="1" spans="1:5" x14ac:dyDescent="0.3">
      <c r="A1" s="1"/>
    </row>
    <row r="3" spans="1:5" ht="15.6" x14ac:dyDescent="0.3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</row>
    <row r="4" spans="1:5" x14ac:dyDescent="0.3">
      <c r="A4" s="3" t="s">
        <v>5</v>
      </c>
      <c r="B4" s="4">
        <v>45</v>
      </c>
      <c r="C4" s="5" t="s">
        <v>6</v>
      </c>
      <c r="D4" s="20" t="str">
        <f>HYPERLINK("https://www.who.int/news/item/01-03-2024-one-in-eight-people-are-now-living-with-obesity", "WHO 2026")</f>
        <v>WHO 2026</v>
      </c>
      <c r="E4" s="6" t="s">
        <v>7</v>
      </c>
    </row>
    <row r="5" spans="1:5" x14ac:dyDescent="0.3">
      <c r="A5" s="3" t="s">
        <v>8</v>
      </c>
      <c r="B5" s="4">
        <v>32.700000000000003</v>
      </c>
      <c r="C5" s="5" t="s">
        <v>9</v>
      </c>
      <c r="D5" s="20" t="str">
        <f>HYPERLINK("https://fao.org/publications/sofi", "SOFI 2026")</f>
        <v>SOFI 2026</v>
      </c>
      <c r="E5" s="7" t="s">
        <v>10</v>
      </c>
    </row>
    <row r="6" spans="1:5" x14ac:dyDescent="0.3">
      <c r="A6" s="3" t="s">
        <v>11</v>
      </c>
      <c r="B6" s="4">
        <v>31</v>
      </c>
      <c r="C6" s="5" t="s">
        <v>12</v>
      </c>
      <c r="D6" s="20" t="str">
        <f>HYPERLINK("https://www.paho.org/en/news/26-6-2024-nearly-18-billion-adults-risk-disease-not-doing-enough-physical-activity", "WHO")</f>
        <v>WHO</v>
      </c>
      <c r="E6" s="8" t="s">
        <v>13</v>
      </c>
    </row>
    <row r="7" spans="1:5" x14ac:dyDescent="0.3">
      <c r="A7" s="3" t="s">
        <v>14</v>
      </c>
      <c r="B7" s="4">
        <v>20</v>
      </c>
      <c r="C7" s="5" t="s">
        <v>6</v>
      </c>
      <c r="D7" s="20" t="str">
        <f>HYPERLINK("https://www.paho.org/en/news/8-10-2026-who-issues-first-global-guidelines-child-and-adolescent-obesity", "WHO 2026")</f>
        <v>WHO 2026</v>
      </c>
      <c r="E7" s="6" t="s">
        <v>7</v>
      </c>
    </row>
    <row r="8" spans="1:5" x14ac:dyDescent="0.3">
      <c r="A8" s="3" t="s">
        <v>15</v>
      </c>
      <c r="B8" s="4">
        <v>16</v>
      </c>
      <c r="C8" s="5" t="s">
        <v>6</v>
      </c>
      <c r="D8" s="20" t="str">
        <f>HYPERLINK("https://www.who.int/news/item/01-03-2024-one-in-eight-people-are-now-living-with-obesity", "WHO 2026")</f>
        <v>WHO 2026</v>
      </c>
      <c r="E8" s="6" t="s">
        <v>7</v>
      </c>
    </row>
    <row r="9" spans="1:5" x14ac:dyDescent="0.3">
      <c r="A9" s="3" t="s">
        <v>16</v>
      </c>
      <c r="B9" s="4">
        <v>7.8</v>
      </c>
      <c r="C9" s="5" t="s">
        <v>9</v>
      </c>
      <c r="D9" s="20" t="str">
        <f>HYPERLINK("https://fao.org/publications/sofi", "SOFI 2026")</f>
        <v>SOFI 2026</v>
      </c>
      <c r="E9" s="7" t="s">
        <v>10</v>
      </c>
    </row>
    <row r="11" spans="1:5" x14ac:dyDescent="0.3">
      <c r="A11" s="9"/>
    </row>
    <row r="40" spans="1:1" ht="15.6" x14ac:dyDescent="0.3">
      <c r="A40" s="19" t="s">
        <v>27</v>
      </c>
    </row>
    <row r="41" spans="1:1" x14ac:dyDescent="0.3">
      <c r="A41" s="10" t="s">
        <v>7</v>
      </c>
    </row>
    <row r="42" spans="1:1" x14ac:dyDescent="0.3">
      <c r="A42" s="11" t="s">
        <v>17</v>
      </c>
    </row>
    <row r="43" spans="1:1" x14ac:dyDescent="0.3">
      <c r="A43" s="12" t="s">
        <v>13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7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2" width="16" customWidth="1"/>
  </cols>
  <sheetData>
    <row r="1" spans="1:2" x14ac:dyDescent="0.3">
      <c r="A1" s="1" t="s">
        <v>18</v>
      </c>
    </row>
    <row r="3" spans="1:2" ht="15.6" x14ac:dyDescent="0.3">
      <c r="A3" s="2" t="s">
        <v>19</v>
      </c>
      <c r="B3" s="2" t="s">
        <v>20</v>
      </c>
    </row>
    <row r="4" spans="1:2" x14ac:dyDescent="0.3">
      <c r="A4" s="13" t="s">
        <v>12</v>
      </c>
      <c r="B4" s="14">
        <v>8.6</v>
      </c>
    </row>
    <row r="5" spans="1:2" x14ac:dyDescent="0.3">
      <c r="A5" s="13" t="s">
        <v>6</v>
      </c>
      <c r="B5" s="14">
        <v>8.1</v>
      </c>
    </row>
    <row r="6" spans="1:2" x14ac:dyDescent="0.3">
      <c r="A6" s="13" t="s">
        <v>9</v>
      </c>
      <c r="B6" s="14">
        <v>7.8</v>
      </c>
    </row>
    <row r="7" spans="1:2" x14ac:dyDescent="0.3">
      <c r="A7" s="15" t="s">
        <v>21</v>
      </c>
      <c r="B7" s="16">
        <f>B4-B6</f>
        <v>0.79999999999999982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6"/>
  <sheetViews>
    <sheetView showGridLines="0" zoomScaleNormal="100" workbookViewId="0"/>
  </sheetViews>
  <sheetFormatPr defaultColWidth="8.6640625" defaultRowHeight="14.4" x14ac:dyDescent="0.3"/>
  <cols>
    <col min="1" max="1" width="30" customWidth="1"/>
    <col min="2" max="2" width="16" customWidth="1"/>
  </cols>
  <sheetData>
    <row r="1" spans="1:2" x14ac:dyDescent="0.3">
      <c r="A1" s="1" t="s">
        <v>22</v>
      </c>
    </row>
    <row r="3" spans="1:2" ht="15.6" x14ac:dyDescent="0.3">
      <c r="A3" s="2" t="s">
        <v>4</v>
      </c>
      <c r="B3" s="2" t="s">
        <v>23</v>
      </c>
    </row>
    <row r="4" spans="1:2" x14ac:dyDescent="0.3">
      <c r="A4" s="13" t="s">
        <v>24</v>
      </c>
      <c r="B4" s="4">
        <v>34</v>
      </c>
    </row>
    <row r="5" spans="1:2" x14ac:dyDescent="0.3">
      <c r="A5" s="13" t="s">
        <v>25</v>
      </c>
      <c r="B5" s="4">
        <v>29</v>
      </c>
    </row>
    <row r="6" spans="1:2" x14ac:dyDescent="0.3">
      <c r="A6" s="15" t="s">
        <v>26</v>
      </c>
      <c r="B6" s="17">
        <f>B4-B5</f>
        <v>5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Biểu đồ trình chiếu</vt:lpstr>
      <vt:lpstr>Xu hướng đói</vt:lpstr>
      <vt:lpstr>Bất hoạt theo giới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Minh Tâm Đoàn Nguyễn</cp:lastModifiedBy>
  <cp:revision>1</cp:revision>
  <dcterms:created xsi:type="dcterms:W3CDTF">2026-10-26T05:00:19Z</dcterms:created>
  <dcterms:modified xsi:type="dcterms:W3CDTF">2026-10-26T06:02:10Z</dcterms:modified>
  <dc:language>en-US</dc:language>
</cp:coreProperties>
</file>